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https://sap-my.sharepoint.com/personal/soracha_techatharathip_sap_com/Documents/Document/Personal Info/Personal Doc/Investment/"/>
    </mc:Choice>
  </mc:AlternateContent>
  <xr:revisionPtr revIDLastSave="594" documentId="8_{55AE634D-615C-2243-8D24-334779B807B8}" xr6:coauthVersionLast="47" xr6:coauthVersionMax="47" xr10:uidLastSave="{3F8E64CD-B4B4-6B4A-91B2-0C425BD9D11B}"/>
  <bookViews>
    <workbookView xWindow="0" yWindow="660" windowWidth="28240" windowHeight="18460" activeTab="1" xr2:uid="{5F263AB5-776D-9B4C-9B05-96D72367E5BB}"/>
  </bookViews>
  <sheets>
    <sheet name="Transaction" sheetId="5" r:id="rId1"/>
    <sheet name="US FCD" sheetId="6" r:id="rId2"/>
  </sheets>
  <definedNames>
    <definedName name="CN01_">#REF!</definedName>
    <definedName name="FCD">#REF!</definedName>
    <definedName name="High">#REF!</definedName>
    <definedName name="INDIA01">#REF!</definedName>
    <definedName name="JAPAN13">#REF!</definedName>
    <definedName name="Low">#REF!</definedName>
    <definedName name="Medium">#REF!</definedName>
    <definedName name="NDX01_">#REF!</definedName>
    <definedName name="SP500US8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5" l="1"/>
</calcChain>
</file>

<file path=xl/sharedStrings.xml><?xml version="1.0" encoding="utf-8"?>
<sst xmlns="http://schemas.openxmlformats.org/spreadsheetml/2006/main" count="220" uniqueCount="90">
  <si>
    <t>Date</t>
  </si>
  <si>
    <t>Asset</t>
  </si>
  <si>
    <t>Risk</t>
  </si>
  <si>
    <t>High</t>
  </si>
  <si>
    <t>Medium</t>
  </si>
  <si>
    <t>Low</t>
  </si>
  <si>
    <t>FCD</t>
  </si>
  <si>
    <t>Unit</t>
  </si>
  <si>
    <t>Total Amount</t>
  </si>
  <si>
    <t>Price</t>
  </si>
  <si>
    <t>K-USXNDQRMF</t>
  </si>
  <si>
    <t>SCBRMWORLD(A)</t>
  </si>
  <si>
    <t>BITCOIN</t>
  </si>
  <si>
    <t>GOLD</t>
  </si>
  <si>
    <t>Project</t>
  </si>
  <si>
    <t>Moonshot</t>
  </si>
  <si>
    <t>UFO</t>
  </si>
  <si>
    <t>USD</t>
  </si>
  <si>
    <t>Investment Record</t>
  </si>
  <si>
    <t>Currency</t>
  </si>
  <si>
    <t>FX Rate (THB per USD)</t>
  </si>
  <si>
    <t>Linked Buy</t>
  </si>
  <si>
    <t>Transaction Type</t>
  </si>
  <si>
    <t>Total Amount (THB)</t>
  </si>
  <si>
    <t>NoWhere</t>
  </si>
  <si>
    <t>October 24, 2025</t>
  </si>
  <si>
    <t>FCD withdraw - NVDA principal 100 USD</t>
  </si>
  <si>
    <t>Buy NVDA - 100 USD (https://www.notion.so/Buy-NVDA-100-USD-0fdf6166d7c54466a8b8341a241c5303?pvs=21)</t>
  </si>
  <si>
    <t>Withdraw</t>
  </si>
  <si>
    <t>Buy NVDA - 100 USD</t>
  </si>
  <si>
    <t>Buy</t>
  </si>
  <si>
    <t>FCD buy - 50 USD</t>
  </si>
  <si>
    <t>Deposit</t>
  </si>
  <si>
    <t>FCD buy - 100 USD</t>
  </si>
  <si>
    <t>October 29, 2025</t>
  </si>
  <si>
    <t>FCD buy - 154.13 USD</t>
  </si>
  <si>
    <t>November 21, 2025</t>
  </si>
  <si>
    <t>FCD buy - 72.03 USD</t>
  </si>
  <si>
    <t>November 27, 2025</t>
  </si>
  <si>
    <t>FCD buy - 154.87 USD</t>
  </si>
  <si>
    <t>January 21, 2026</t>
  </si>
  <si>
    <t>FCD buy - 144.80 USD</t>
  </si>
  <si>
    <t>February 20, 2026</t>
  </si>
  <si>
    <t>FCD withdraw - Buy UFO</t>
  </si>
  <si>
    <t>Buy UFO (https://www.notion.so/Buy-UFO-314887b680ad807dbfcef1099712b681?pvs=21)</t>
  </si>
  <si>
    <t>FCD withdraw - Buy Gold</t>
  </si>
  <si>
    <t>Buy GOLD (https://www.notion.so/Buy-GOLD-314887b680ad8076b862dd8103df363c?pvs=21)</t>
  </si>
  <si>
    <t>FCD buy - 16 USD</t>
  </si>
  <si>
    <t>Buy UFO</t>
  </si>
  <si>
    <t>Buy BITCOIN</t>
  </si>
  <si>
    <t>THB</t>
  </si>
  <si>
    <t>Buy GOLD</t>
  </si>
  <si>
    <t>February 25, 2026</t>
  </si>
  <si>
    <t>High Risk - K-USXNDQRMF</t>
  </si>
  <si>
    <t>Medium Risk - SCBRMWORLD(A)</t>
  </si>
  <si>
    <t>Alien</t>
  </si>
  <si>
    <t>February 26, 2026</t>
  </si>
  <si>
    <t>BUY SPYM (341369) (https://www.notion.so/BUY-SPYM-341369-c4aded5ed5bb4a86a5fb27895fa81125?pvs=21), BUY SCHD (343021) (https://www.notion.so/BUY-SCHD-343021-f3718fa4134743e5a0b76ebfe71535a2?pvs=21), BUY DGRO (344022) (https://www.notion.so/BUY-DGRO-344022-d55de6ca660b4fc6a237014ff1089975?pvs=21)</t>
  </si>
  <si>
    <t>SPYM</t>
  </si>
  <si>
    <t>BUY SPYM (341369)</t>
  </si>
  <si>
    <t>DGRO</t>
  </si>
  <si>
    <t>BUY DGRO (344022)</t>
  </si>
  <si>
    <t>SCHD</t>
  </si>
  <si>
    <t>BUY SCHD (343021)</t>
  </si>
  <si>
    <t>Lot</t>
  </si>
  <si>
    <t>USD In</t>
  </si>
  <si>
    <t>USD Remaining</t>
  </si>
  <si>
    <t>THB Cost</t>
  </si>
  <si>
    <t>Status</t>
  </si>
  <si>
    <t>Source Transaction</t>
  </si>
  <si>
    <t>2025-10-24 Lot 2 (100 USD)</t>
  </si>
  <si>
    <t>Closed</t>
  </si>
  <si>
    <t>FCD buy - 100 USD (https://www.notion.so/FCD-buy-100-USD-257a2b75f6334acd8e0a1d24493b90e0?pvs=21)</t>
  </si>
  <si>
    <t>2025-10-24 Lot 1 (50 USD)</t>
  </si>
  <si>
    <t>FCD buy - 50 USD (https://www.notion.so/FCD-buy-50-USD-62c0be63af7f440cb653c622d0cab138?pvs=21)</t>
  </si>
  <si>
    <t>2025-10-29 Lot 3 (154.13 USD)</t>
  </si>
  <si>
    <t>Open</t>
  </si>
  <si>
    <t>FCD buy - 154.13 USD (https://www.notion.so/FCD-buy-154-13-USD-ca6dc3da00584d6ba0a26588ba2a6124?pvs=21)</t>
  </si>
  <si>
    <t>2025-11-21 Lot 4 (72.03 USD)</t>
  </si>
  <si>
    <t>FCD buy - 72.03 USD (https://www.notion.so/FCD-buy-72-03-USD-c0a3213a2eb44f9998f6a34705dfd836?pvs=21)</t>
  </si>
  <si>
    <t>2025-11-27 Lot 5 (154.87 USD)</t>
  </si>
  <si>
    <t>FCD buy - 154.87 USD (https://www.notion.so/FCD-buy-154-87-USD-9720daf5219d4501a3a24b09396c0347?pvs=21)</t>
  </si>
  <si>
    <t>2026-01-21 Lot 6 (144.80 USD)</t>
  </si>
  <si>
    <t>FCD buy - 144.80 USD (https://www.notion.so/FCD-buy-144-80-USD-28eb97fe957641428e48339097cf1d72?pvs=21)</t>
  </si>
  <si>
    <t>2026-02-20 Lot 7 (16 USD @31.21)</t>
  </si>
  <si>
    <t>FCD buy - 16 USD (https://www.notion.so/FCD-buy-16-USD-314887b680ad801390bcf2ab82d94ad2?pvs=21)</t>
  </si>
  <si>
    <t>2026-02-20 Lot 8 (16 USD @31.25)</t>
  </si>
  <si>
    <t>FCD buy - 16 USD (https://www.notion.so/FCD-buy-16-USD-ba840ce68a7b4c7685f2908704e81217?pvs=21)</t>
  </si>
  <si>
    <t>NVDA</t>
  </si>
  <si>
    <t>FCD withdraw - Buy SPYM, DGRO, SCHD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</si>
</sst>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3" fontId="0" fillId="0" borderId="0" xfId="0" applyNumberFormat="1"/>
    <xf numFmtId="4" fontId="0" fillId="0" borderId="0" xfId="0" applyNumberFormat="1"/>
  </cellXfs>
  <cellStyles count="2">
    <cellStyle name="Comma" xfId="1" builtinId="3"/>
    <cellStyle name="Normal" xfId="0" builtinId="0"/>
  </cellStyles>
  <dxfs count="1">
    <dxf>
      <numFmt numFmtId="4" formatCode="#,##0.00"/>
    </dxf>
  </dxfs>
  <tableStyles count="0" defaultTableStyle="TableStyleMedium2" defaultPivotStyle="PivotStyleLight16"/>
  <colors>
    <mruColors>
      <color rgb="FF156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0EC6995-1B6B-754F-A340-F7031AA13990}" name="Table16" displayName="Table16" ref="A1:M24" totalsRowShown="0">
  <autoFilter ref="A1:M24" xr:uid="{40EC6995-1B6B-754F-A340-F7031AA13990}"/>
  <tableColumns count="13">
    <tableColumn id="1" xr3:uid="{39E44A9A-521D-7C4C-8EEF-6BAA40633E6D}" name="Project"/>
    <tableColumn id="2" xr3:uid="{CF958A1A-0625-8B4A-9F7E-EEE9439C043D}" name="Date"/>
    <tableColumn id="3" xr3:uid="{D598AFD8-2D8F-BD4B-AD26-0323AB5BB7DF}" name="Risk"/>
    <tableColumn id="4" xr3:uid="{D70DBE2A-D4D7-8443-8A58-672616E78458}" name="Asset"/>
    <tableColumn id="5" xr3:uid="{BF350E0E-B5F5-B14A-80C3-65715A5BAFD1}" name="Investment Record"/>
    <tableColumn id="6" xr3:uid="{286BDB3B-0229-C848-9A92-5181455E6D33}" name="Unit"/>
    <tableColumn id="7" xr3:uid="{CC0E6B4A-4F3D-814D-BBB7-1943423B13CA}" name="Price"/>
    <tableColumn id="8" xr3:uid="{87C25405-80E2-1A45-99EB-E1284256E54D}" name="Currency"/>
    <tableColumn id="9" xr3:uid="{B6B74D99-F732-0A4D-A798-444F0BDA8A6E}" name="Total Amount"/>
    <tableColumn id="10" xr3:uid="{4FAA5155-1345-7C43-BAA2-C785AAE16EF9}" name="FX Rate (THB per USD)"/>
    <tableColumn id="11" xr3:uid="{6798B57C-0DC1-3846-B540-C6EDDC700E03}" name="Linked Buy"/>
    <tableColumn id="12" xr3:uid="{D69D9171-A6C7-A746-ABF3-0ACD2A210064}" name="Transaction Type"/>
    <tableColumn id="13" xr3:uid="{5B7125A2-C759-0141-BAC3-4C5FC637F633}" name="Total Amount (THB)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FFA8A6E-C2F5-5748-8222-C670EA0149B7}" name="Table15" displayName="Table15" ref="A1:H9" totalsRowShown="0">
  <autoFilter ref="A1:H9" xr:uid="{1FFA8A6E-C2F5-5748-8222-C670EA0149B7}"/>
  <tableColumns count="8">
    <tableColumn id="1" xr3:uid="{4D04C40B-27DF-774F-9F1F-F7594FC2510A}" name="Lot"/>
    <tableColumn id="2" xr3:uid="{C977B6C8-2C62-5543-A85B-D05D20A0DEC2}" name="Date"/>
    <tableColumn id="3" xr3:uid="{B211DB36-B736-8E4A-B271-D84089EFCF0C}" name="USD In"/>
    <tableColumn id="4" xr3:uid="{A4E5427A-B13F-574C-AFA0-42B1C44F066B}" name="USD Remaining"/>
    <tableColumn id="5" xr3:uid="{2F336F99-3DA3-064D-879F-322F602517BE}" name="FX Rate (THB per USD)"/>
    <tableColumn id="6" xr3:uid="{9D0FB495-299C-AF40-90F7-9282B2EC05F3}" name="THB Cost" dataDxfId="0"/>
    <tableColumn id="7" xr3:uid="{0A8B76CC-E891-294B-97B0-D7316B718FD7}" name="Status"/>
    <tableColumn id="8" xr3:uid="{F7EC6525-431D-E34F-ABDF-087757E99CF5}" name="Source Trans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45F23-3A05-2941-B867-A57F0095228C}">
  <dimension ref="A1:M24"/>
  <sheetViews>
    <sheetView workbookViewId="0">
      <selection activeCell="E22" sqref="E22"/>
    </sheetView>
  </sheetViews>
  <sheetFormatPr baseColWidth="10" defaultRowHeight="16" x14ac:dyDescent="0.2"/>
  <cols>
    <col min="1" max="1" width="9.5" customWidth="1"/>
    <col min="2" max="2" width="16.83203125" bestFit="1" customWidth="1"/>
    <col min="4" max="4" width="16" bestFit="1" customWidth="1"/>
    <col min="5" max="5" width="34" bestFit="1" customWidth="1"/>
    <col min="8" max="8" width="11" customWidth="1"/>
    <col min="9" max="9" width="14.33203125" customWidth="1"/>
    <col min="10" max="10" width="21.5" customWidth="1"/>
    <col min="11" max="11" width="12.33203125" customWidth="1"/>
    <col min="12" max="12" width="17.1640625" customWidth="1"/>
    <col min="13" max="13" width="19.33203125" customWidth="1"/>
  </cols>
  <sheetData>
    <row r="1" spans="1:13" x14ac:dyDescent="0.2">
      <c r="A1" t="s">
        <v>14</v>
      </c>
      <c r="B1" t="s">
        <v>0</v>
      </c>
      <c r="C1" t="s">
        <v>2</v>
      </c>
      <c r="D1" t="s">
        <v>1</v>
      </c>
      <c r="E1" t="s">
        <v>18</v>
      </c>
      <c r="F1" t="s">
        <v>7</v>
      </c>
      <c r="G1" t="s">
        <v>9</v>
      </c>
      <c r="H1" t="s">
        <v>19</v>
      </c>
      <c r="I1" t="s">
        <v>8</v>
      </c>
      <c r="J1" t="s">
        <v>20</v>
      </c>
      <c r="K1" t="s">
        <v>21</v>
      </c>
      <c r="L1" t="s">
        <v>22</v>
      </c>
      <c r="M1" t="s">
        <v>23</v>
      </c>
    </row>
    <row r="2" spans="1:13" x14ac:dyDescent="0.2">
      <c r="A2" t="s">
        <v>24</v>
      </c>
      <c r="B2" t="s">
        <v>25</v>
      </c>
      <c r="C2" t="s">
        <v>5</v>
      </c>
      <c r="D2" t="s">
        <v>6</v>
      </c>
      <c r="E2" t="s">
        <v>26</v>
      </c>
      <c r="F2">
        <v>50</v>
      </c>
      <c r="G2">
        <v>1</v>
      </c>
      <c r="H2" t="s">
        <v>17</v>
      </c>
      <c r="I2">
        <v>50</v>
      </c>
      <c r="J2">
        <v>32.86</v>
      </c>
      <c r="K2" t="s">
        <v>27</v>
      </c>
      <c r="L2" t="s">
        <v>28</v>
      </c>
      <c r="M2" s="1">
        <f>Table16[[#This Row],[Total Amount]]*Table16[[#This Row],[FX Rate (THB per USD)]]</f>
        <v>1643</v>
      </c>
    </row>
    <row r="3" spans="1:13" x14ac:dyDescent="0.2">
      <c r="A3" t="s">
        <v>24</v>
      </c>
      <c r="B3" t="s">
        <v>25</v>
      </c>
      <c r="C3" t="s">
        <v>5</v>
      </c>
      <c r="D3" t="s">
        <v>6</v>
      </c>
      <c r="E3" t="s">
        <v>26</v>
      </c>
      <c r="F3">
        <v>50</v>
      </c>
      <c r="G3">
        <v>1</v>
      </c>
      <c r="H3" t="s">
        <v>17</v>
      </c>
      <c r="I3">
        <v>50</v>
      </c>
      <c r="J3">
        <v>32.770000000000003</v>
      </c>
      <c r="K3" t="s">
        <v>27</v>
      </c>
      <c r="L3" t="s">
        <v>28</v>
      </c>
      <c r="M3" s="1">
        <v>1638.5</v>
      </c>
    </row>
    <row r="4" spans="1:13" x14ac:dyDescent="0.2">
      <c r="A4" t="s">
        <v>24</v>
      </c>
      <c r="B4" t="s">
        <v>25</v>
      </c>
      <c r="C4" t="s">
        <v>4</v>
      </c>
      <c r="D4" t="s">
        <v>88</v>
      </c>
      <c r="E4" t="s">
        <v>29</v>
      </c>
      <c r="F4">
        <v>0.54007919999999998</v>
      </c>
      <c r="G4">
        <v>185.15799999999999</v>
      </c>
      <c r="H4" t="s">
        <v>17</v>
      </c>
      <c r="I4">
        <v>99.999984513599998</v>
      </c>
      <c r="L4" t="s">
        <v>30</v>
      </c>
      <c r="M4" s="1">
        <v>0</v>
      </c>
    </row>
    <row r="5" spans="1:13" x14ac:dyDescent="0.2">
      <c r="A5" t="s">
        <v>15</v>
      </c>
      <c r="B5" t="s">
        <v>25</v>
      </c>
      <c r="C5" t="s">
        <v>5</v>
      </c>
      <c r="D5" t="s">
        <v>6</v>
      </c>
      <c r="E5" t="s">
        <v>31</v>
      </c>
      <c r="F5">
        <v>50</v>
      </c>
      <c r="G5">
        <v>32.770000000000003</v>
      </c>
      <c r="H5" t="s">
        <v>17</v>
      </c>
      <c r="I5" s="3">
        <v>1638.5</v>
      </c>
      <c r="L5" t="s">
        <v>32</v>
      </c>
      <c r="M5" s="1">
        <v>0</v>
      </c>
    </row>
    <row r="6" spans="1:13" x14ac:dyDescent="0.2">
      <c r="A6" t="s">
        <v>15</v>
      </c>
      <c r="B6" t="s">
        <v>25</v>
      </c>
      <c r="C6" t="s">
        <v>5</v>
      </c>
      <c r="D6" t="s">
        <v>6</v>
      </c>
      <c r="E6" t="s">
        <v>33</v>
      </c>
      <c r="F6">
        <v>100</v>
      </c>
      <c r="G6">
        <v>32.86</v>
      </c>
      <c r="H6" t="s">
        <v>17</v>
      </c>
      <c r="I6" s="2">
        <v>3286</v>
      </c>
      <c r="L6" t="s">
        <v>32</v>
      </c>
      <c r="M6" s="1">
        <v>0</v>
      </c>
    </row>
    <row r="7" spans="1:13" x14ac:dyDescent="0.2">
      <c r="A7" t="s">
        <v>15</v>
      </c>
      <c r="B7" t="s">
        <v>34</v>
      </c>
      <c r="C7" t="s">
        <v>5</v>
      </c>
      <c r="D7" t="s">
        <v>6</v>
      </c>
      <c r="E7" t="s">
        <v>35</v>
      </c>
      <c r="F7">
        <v>154.13</v>
      </c>
      <c r="G7">
        <v>32.46</v>
      </c>
      <c r="H7" t="s">
        <v>17</v>
      </c>
      <c r="I7" s="3">
        <v>5003.0598</v>
      </c>
      <c r="L7" t="s">
        <v>32</v>
      </c>
      <c r="M7" s="1">
        <v>0</v>
      </c>
    </row>
    <row r="8" spans="1:13" x14ac:dyDescent="0.2">
      <c r="A8" t="s">
        <v>15</v>
      </c>
      <c r="B8" t="s">
        <v>36</v>
      </c>
      <c r="C8" t="s">
        <v>5</v>
      </c>
      <c r="D8" t="s">
        <v>6</v>
      </c>
      <c r="E8" t="s">
        <v>37</v>
      </c>
      <c r="F8">
        <v>72.03</v>
      </c>
      <c r="G8">
        <v>32.58</v>
      </c>
      <c r="H8" t="s">
        <v>17</v>
      </c>
      <c r="I8" s="3">
        <v>2346.7374</v>
      </c>
      <c r="L8" t="s">
        <v>32</v>
      </c>
      <c r="M8" s="1">
        <v>0</v>
      </c>
    </row>
    <row r="9" spans="1:13" x14ac:dyDescent="0.2">
      <c r="A9" t="s">
        <v>15</v>
      </c>
      <c r="B9" t="s">
        <v>38</v>
      </c>
      <c r="C9" t="s">
        <v>5</v>
      </c>
      <c r="D9" t="s">
        <v>6</v>
      </c>
      <c r="E9" t="s">
        <v>39</v>
      </c>
      <c r="F9">
        <v>154.87</v>
      </c>
      <c r="G9">
        <v>32.29</v>
      </c>
      <c r="H9" t="s">
        <v>17</v>
      </c>
      <c r="I9" s="3">
        <v>5000.7523000000001</v>
      </c>
      <c r="L9" t="s">
        <v>32</v>
      </c>
      <c r="M9" s="1">
        <v>0</v>
      </c>
    </row>
    <row r="10" spans="1:13" x14ac:dyDescent="0.2">
      <c r="A10" t="s">
        <v>15</v>
      </c>
      <c r="B10" t="s">
        <v>40</v>
      </c>
      <c r="C10" t="s">
        <v>5</v>
      </c>
      <c r="D10" t="s">
        <v>6</v>
      </c>
      <c r="E10" t="s">
        <v>41</v>
      </c>
      <c r="F10">
        <v>144.80000000000001</v>
      </c>
      <c r="G10">
        <v>31.07</v>
      </c>
      <c r="H10" t="s">
        <v>17</v>
      </c>
      <c r="I10" s="3">
        <v>4498.9359999999997</v>
      </c>
      <c r="L10" t="s">
        <v>32</v>
      </c>
      <c r="M10" s="1">
        <v>0</v>
      </c>
    </row>
    <row r="11" spans="1:13" x14ac:dyDescent="0.2">
      <c r="A11" t="s">
        <v>15</v>
      </c>
      <c r="B11" t="s">
        <v>42</v>
      </c>
      <c r="C11" t="s">
        <v>5</v>
      </c>
      <c r="D11" t="s">
        <v>6</v>
      </c>
      <c r="E11" t="s">
        <v>43</v>
      </c>
      <c r="F11">
        <v>10.75</v>
      </c>
      <c r="G11">
        <v>1</v>
      </c>
      <c r="H11" t="s">
        <v>17</v>
      </c>
      <c r="I11">
        <v>10.75</v>
      </c>
      <c r="J11">
        <v>32.46</v>
      </c>
      <c r="K11" t="s">
        <v>44</v>
      </c>
      <c r="L11" t="s">
        <v>28</v>
      </c>
      <c r="M11" s="1">
        <v>348.94499999999999</v>
      </c>
    </row>
    <row r="12" spans="1:13" x14ac:dyDescent="0.2">
      <c r="A12" t="s">
        <v>15</v>
      </c>
      <c r="B12" t="s">
        <v>42</v>
      </c>
      <c r="C12" t="s">
        <v>5</v>
      </c>
      <c r="D12" t="s">
        <v>6</v>
      </c>
      <c r="E12" t="s">
        <v>43</v>
      </c>
      <c r="F12">
        <v>34.4</v>
      </c>
      <c r="G12">
        <v>1</v>
      </c>
      <c r="H12" t="s">
        <v>17</v>
      </c>
      <c r="I12">
        <v>34.4</v>
      </c>
      <c r="J12">
        <v>32.86</v>
      </c>
      <c r="K12" t="s">
        <v>44</v>
      </c>
      <c r="L12" t="s">
        <v>28</v>
      </c>
      <c r="M12" s="1">
        <v>1130.384</v>
      </c>
    </row>
    <row r="13" spans="1:13" x14ac:dyDescent="0.2">
      <c r="A13" t="s">
        <v>15</v>
      </c>
      <c r="B13" t="s">
        <v>42</v>
      </c>
      <c r="C13" t="s">
        <v>5</v>
      </c>
      <c r="D13" t="s">
        <v>6</v>
      </c>
      <c r="E13" t="s">
        <v>45</v>
      </c>
      <c r="F13">
        <v>15.6</v>
      </c>
      <c r="G13">
        <v>1</v>
      </c>
      <c r="H13" t="s">
        <v>17</v>
      </c>
      <c r="I13">
        <v>15.6</v>
      </c>
      <c r="J13">
        <v>32.86</v>
      </c>
      <c r="K13" t="s">
        <v>46</v>
      </c>
      <c r="L13" t="s">
        <v>28</v>
      </c>
      <c r="M13" s="1">
        <v>512.61599999999999</v>
      </c>
    </row>
    <row r="14" spans="1:13" x14ac:dyDescent="0.2">
      <c r="A14" t="s">
        <v>15</v>
      </c>
      <c r="B14" t="s">
        <v>42</v>
      </c>
      <c r="C14" t="s">
        <v>5</v>
      </c>
      <c r="D14" t="s">
        <v>6</v>
      </c>
      <c r="E14" t="s">
        <v>47</v>
      </c>
      <c r="F14">
        <v>16</v>
      </c>
      <c r="G14">
        <v>31.25</v>
      </c>
      <c r="H14" t="s">
        <v>17</v>
      </c>
      <c r="I14">
        <v>500</v>
      </c>
      <c r="L14" t="s">
        <v>32</v>
      </c>
      <c r="M14" s="1">
        <v>0</v>
      </c>
    </row>
    <row r="15" spans="1:13" x14ac:dyDescent="0.2">
      <c r="A15" t="s">
        <v>15</v>
      </c>
      <c r="B15" t="s">
        <v>42</v>
      </c>
      <c r="C15" t="s">
        <v>3</v>
      </c>
      <c r="D15" t="s">
        <v>16</v>
      </c>
      <c r="E15" t="s">
        <v>48</v>
      </c>
      <c r="F15">
        <v>0.35437429999999998</v>
      </c>
      <c r="G15">
        <v>45.15</v>
      </c>
      <c r="H15" t="s">
        <v>17</v>
      </c>
      <c r="I15">
        <v>15.999999645000001</v>
      </c>
      <c r="L15" t="s">
        <v>30</v>
      </c>
      <c r="M15" s="1">
        <v>0</v>
      </c>
    </row>
    <row r="16" spans="1:13" x14ac:dyDescent="0.2">
      <c r="A16" t="s">
        <v>15</v>
      </c>
      <c r="B16" t="s">
        <v>42</v>
      </c>
      <c r="C16" t="s">
        <v>3</v>
      </c>
      <c r="D16" t="s">
        <v>12</v>
      </c>
      <c r="E16" t="s">
        <v>49</v>
      </c>
      <c r="F16">
        <v>4.6999999999999999E-4</v>
      </c>
      <c r="G16">
        <v>2127261.42</v>
      </c>
      <c r="H16" t="s">
        <v>50</v>
      </c>
      <c r="I16">
        <v>999.81286739999996</v>
      </c>
      <c r="J16">
        <v>1</v>
      </c>
      <c r="L16" t="s">
        <v>30</v>
      </c>
      <c r="M16" s="1">
        <v>999.81286739999996</v>
      </c>
    </row>
    <row r="17" spans="1:13" x14ac:dyDescent="0.2">
      <c r="A17" t="s">
        <v>15</v>
      </c>
      <c r="B17" t="s">
        <v>42</v>
      </c>
      <c r="C17" t="s">
        <v>5</v>
      </c>
      <c r="D17" t="s">
        <v>13</v>
      </c>
      <c r="E17" t="s">
        <v>51</v>
      </c>
      <c r="F17">
        <v>3.0999999999999999E-3</v>
      </c>
      <c r="G17">
        <v>5032.59</v>
      </c>
      <c r="H17" t="s">
        <v>17</v>
      </c>
      <c r="I17">
        <v>15.601029</v>
      </c>
      <c r="L17" t="s">
        <v>30</v>
      </c>
      <c r="M17" s="1">
        <v>0</v>
      </c>
    </row>
    <row r="18" spans="1:13" x14ac:dyDescent="0.2">
      <c r="A18" t="s">
        <v>15</v>
      </c>
      <c r="B18" t="s">
        <v>42</v>
      </c>
      <c r="C18" t="s">
        <v>5</v>
      </c>
      <c r="D18" t="s">
        <v>6</v>
      </c>
      <c r="E18" t="s">
        <v>47</v>
      </c>
      <c r="F18">
        <v>16</v>
      </c>
      <c r="G18">
        <v>31.21</v>
      </c>
      <c r="H18" t="s">
        <v>17</v>
      </c>
      <c r="I18">
        <v>499.36</v>
      </c>
      <c r="L18" t="s">
        <v>32</v>
      </c>
      <c r="M18" s="1">
        <v>0</v>
      </c>
    </row>
    <row r="19" spans="1:13" x14ac:dyDescent="0.2">
      <c r="A19" t="s">
        <v>15</v>
      </c>
      <c r="B19" t="s">
        <v>52</v>
      </c>
      <c r="C19" t="s">
        <v>3</v>
      </c>
      <c r="D19" t="s">
        <v>10</v>
      </c>
      <c r="E19" t="s">
        <v>53</v>
      </c>
      <c r="F19">
        <v>0</v>
      </c>
      <c r="G19">
        <v>0</v>
      </c>
      <c r="H19" t="s">
        <v>50</v>
      </c>
      <c r="I19">
        <v>0</v>
      </c>
      <c r="J19">
        <v>1</v>
      </c>
      <c r="L19" t="s">
        <v>30</v>
      </c>
      <c r="M19" s="1">
        <v>0</v>
      </c>
    </row>
    <row r="20" spans="1:13" x14ac:dyDescent="0.2">
      <c r="A20" t="s">
        <v>15</v>
      </c>
      <c r="B20" t="s">
        <v>52</v>
      </c>
      <c r="C20" t="s">
        <v>4</v>
      </c>
      <c r="D20" t="s">
        <v>11</v>
      </c>
      <c r="E20" t="s">
        <v>54</v>
      </c>
      <c r="F20">
        <v>0</v>
      </c>
      <c r="G20">
        <v>0</v>
      </c>
      <c r="H20" t="s">
        <v>50</v>
      </c>
      <c r="I20">
        <v>0</v>
      </c>
      <c r="J20">
        <v>1</v>
      </c>
      <c r="L20" t="s">
        <v>30</v>
      </c>
      <c r="M20" s="1">
        <v>0</v>
      </c>
    </row>
    <row r="21" spans="1:13" x14ac:dyDescent="0.2">
      <c r="A21" t="s">
        <v>55</v>
      </c>
      <c r="B21" t="s">
        <v>56</v>
      </c>
      <c r="C21" t="s">
        <v>5</v>
      </c>
      <c r="D21" t="s">
        <v>6</v>
      </c>
      <c r="E21" t="s">
        <v>89</v>
      </c>
      <c r="F21">
        <v>28</v>
      </c>
      <c r="G21">
        <v>1</v>
      </c>
      <c r="H21" t="s">
        <v>17</v>
      </c>
      <c r="I21">
        <v>28</v>
      </c>
      <c r="J21">
        <v>32.46</v>
      </c>
      <c r="K21" t="s">
        <v>57</v>
      </c>
      <c r="L21" t="s">
        <v>28</v>
      </c>
      <c r="M21" s="1">
        <v>908.88</v>
      </c>
    </row>
    <row r="22" spans="1:13" x14ac:dyDescent="0.2">
      <c r="A22" t="s">
        <v>55</v>
      </c>
      <c r="B22" t="s">
        <v>56</v>
      </c>
      <c r="C22" t="s">
        <v>4</v>
      </c>
      <c r="D22" t="s">
        <v>58</v>
      </c>
      <c r="E22" t="s">
        <v>59</v>
      </c>
      <c r="F22">
        <v>0.14762330000000001</v>
      </c>
      <c r="G22">
        <v>81.287999999999997</v>
      </c>
      <c r="H22" t="s">
        <v>17</v>
      </c>
      <c r="I22">
        <v>12.0000028104</v>
      </c>
      <c r="L22" t="s">
        <v>30</v>
      </c>
      <c r="M22" s="1">
        <v>0</v>
      </c>
    </row>
    <row r="23" spans="1:13" x14ac:dyDescent="0.2">
      <c r="A23" t="s">
        <v>55</v>
      </c>
      <c r="B23" t="s">
        <v>56</v>
      </c>
      <c r="C23" t="s">
        <v>4</v>
      </c>
      <c r="D23" t="s">
        <v>60</v>
      </c>
      <c r="E23" t="s">
        <v>61</v>
      </c>
      <c r="F23">
        <v>0.10903930000000001</v>
      </c>
      <c r="G23">
        <v>73.367999999999995</v>
      </c>
      <c r="H23" t="s">
        <v>17</v>
      </c>
      <c r="I23">
        <v>7.9999953624</v>
      </c>
      <c r="L23" t="s">
        <v>30</v>
      </c>
      <c r="M23" s="1">
        <v>0</v>
      </c>
    </row>
    <row r="24" spans="1:13" x14ac:dyDescent="0.2">
      <c r="A24" t="s">
        <v>55</v>
      </c>
      <c r="B24" t="s">
        <v>56</v>
      </c>
      <c r="C24" t="s">
        <v>4</v>
      </c>
      <c r="D24" t="s">
        <v>62</v>
      </c>
      <c r="E24" t="s">
        <v>63</v>
      </c>
      <c r="F24">
        <v>0.25503690000000001</v>
      </c>
      <c r="G24">
        <v>31.367999999999999</v>
      </c>
      <c r="H24" t="s">
        <v>17</v>
      </c>
      <c r="I24">
        <v>7.9999974792000002</v>
      </c>
      <c r="L24" t="s">
        <v>30</v>
      </c>
      <c r="M24" s="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EC347-383A-5140-B714-AB2904F49F9E}">
  <dimension ref="A1:H9"/>
  <sheetViews>
    <sheetView tabSelected="1" workbookViewId="0">
      <selection sqref="A1:H9"/>
    </sheetView>
  </sheetViews>
  <sheetFormatPr baseColWidth="10" defaultRowHeight="16" x14ac:dyDescent="0.2"/>
  <cols>
    <col min="1" max="1" width="29.1640625" bestFit="1" customWidth="1"/>
    <col min="2" max="2" width="16.83203125" bestFit="1" customWidth="1"/>
    <col min="4" max="4" width="16.1640625" customWidth="1"/>
    <col min="5" max="5" width="21.5" customWidth="1"/>
    <col min="6" max="6" width="11.1640625" customWidth="1"/>
    <col min="8" max="8" width="19.1640625" customWidth="1"/>
  </cols>
  <sheetData>
    <row r="1" spans="1:8" x14ac:dyDescent="0.2">
      <c r="A1" t="s">
        <v>64</v>
      </c>
      <c r="B1" t="s">
        <v>0</v>
      </c>
      <c r="C1" t="s">
        <v>65</v>
      </c>
      <c r="D1" t="s">
        <v>66</v>
      </c>
      <c r="E1" t="s">
        <v>20</v>
      </c>
      <c r="F1" t="s">
        <v>67</v>
      </c>
      <c r="G1" t="s">
        <v>68</v>
      </c>
      <c r="H1" t="s">
        <v>69</v>
      </c>
    </row>
    <row r="2" spans="1:8" x14ac:dyDescent="0.2">
      <c r="A2" t="s">
        <v>70</v>
      </c>
      <c r="B2" t="s">
        <v>25</v>
      </c>
      <c r="C2">
        <v>100</v>
      </c>
      <c r="D2">
        <v>0</v>
      </c>
      <c r="E2">
        <v>32.86</v>
      </c>
      <c r="F2" s="2">
        <v>3286</v>
      </c>
      <c r="G2" t="s">
        <v>71</v>
      </c>
      <c r="H2" t="s">
        <v>72</v>
      </c>
    </row>
    <row r="3" spans="1:8" x14ac:dyDescent="0.2">
      <c r="A3" t="s">
        <v>73</v>
      </c>
      <c r="B3" t="s">
        <v>25</v>
      </c>
      <c r="C3">
        <v>50</v>
      </c>
      <c r="D3">
        <v>0</v>
      </c>
      <c r="E3">
        <v>32.770000000000003</v>
      </c>
      <c r="F3" s="3">
        <v>1638.5</v>
      </c>
      <c r="G3" t="s">
        <v>71</v>
      </c>
      <c r="H3" t="s">
        <v>74</v>
      </c>
    </row>
    <row r="4" spans="1:8" x14ac:dyDescent="0.2">
      <c r="A4" t="s">
        <v>75</v>
      </c>
      <c r="B4" t="s">
        <v>34</v>
      </c>
      <c r="C4">
        <v>154.13</v>
      </c>
      <c r="D4">
        <v>123.38</v>
      </c>
      <c r="E4">
        <v>32.46</v>
      </c>
      <c r="F4" s="3">
        <v>5003.0598</v>
      </c>
      <c r="G4" t="s">
        <v>76</v>
      </c>
      <c r="H4" t="s">
        <v>77</v>
      </c>
    </row>
    <row r="5" spans="1:8" x14ac:dyDescent="0.2">
      <c r="A5" t="s">
        <v>78</v>
      </c>
      <c r="B5" t="s">
        <v>36</v>
      </c>
      <c r="C5">
        <v>72.03</v>
      </c>
      <c r="D5">
        <v>72.03</v>
      </c>
      <c r="E5">
        <v>32.58</v>
      </c>
      <c r="F5" s="3">
        <v>2346.7374</v>
      </c>
      <c r="G5" t="s">
        <v>76</v>
      </c>
      <c r="H5" t="s">
        <v>79</v>
      </c>
    </row>
    <row r="6" spans="1:8" x14ac:dyDescent="0.2">
      <c r="A6" t="s">
        <v>80</v>
      </c>
      <c r="B6" t="s">
        <v>38</v>
      </c>
      <c r="C6">
        <v>154.87</v>
      </c>
      <c r="D6">
        <v>154.87</v>
      </c>
      <c r="E6">
        <v>32.29</v>
      </c>
      <c r="F6" s="3">
        <v>5000.7523000000001</v>
      </c>
      <c r="G6" t="s">
        <v>76</v>
      </c>
      <c r="H6" t="s">
        <v>81</v>
      </c>
    </row>
    <row r="7" spans="1:8" x14ac:dyDescent="0.2">
      <c r="A7" t="s">
        <v>82</v>
      </c>
      <c r="B7" t="s">
        <v>40</v>
      </c>
      <c r="C7">
        <v>144.80000000000001</v>
      </c>
      <c r="D7">
        <v>144.80000000000001</v>
      </c>
      <c r="E7">
        <v>31.07</v>
      </c>
      <c r="F7" s="3">
        <v>4498.9359999999997</v>
      </c>
      <c r="G7" t="s">
        <v>76</v>
      </c>
      <c r="H7" t="s">
        <v>83</v>
      </c>
    </row>
    <row r="8" spans="1:8" x14ac:dyDescent="0.2">
      <c r="A8" t="s">
        <v>84</v>
      </c>
      <c r="B8" t="s">
        <v>42</v>
      </c>
      <c r="C8">
        <v>16</v>
      </c>
      <c r="D8">
        <v>16</v>
      </c>
      <c r="E8">
        <v>31.21</v>
      </c>
      <c r="F8">
        <v>499.36</v>
      </c>
      <c r="G8" t="s">
        <v>76</v>
      </c>
      <c r="H8" t="s">
        <v>85</v>
      </c>
    </row>
    <row r="9" spans="1:8" x14ac:dyDescent="0.2">
      <c r="A9" t="s">
        <v>86</v>
      </c>
      <c r="B9" t="s">
        <v>42</v>
      </c>
      <c r="C9">
        <v>16</v>
      </c>
      <c r="D9">
        <v>16</v>
      </c>
      <c r="E9">
        <v>31.25</v>
      </c>
      <c r="F9">
        <v>500</v>
      </c>
      <c r="G9" t="s">
        <v>76</v>
      </c>
      <c r="H9" t="s">
        <v>87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</vt:lpstr>
      <vt:lpstr>US FCD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Techatharathip, Soracha</dc:creator>
  <cp:lastModifiedBy>Techatharathip, Soracha</cp:lastModifiedBy>
  <dcterms:created xsi:type="dcterms:W3CDTF">2026-02-18T06:35:49Z</dcterms:created>
  <dcterms:modified xsi:type="dcterms:W3CDTF">2026-02-28T04:07:06Z</dcterms:modified>
</cp:coreProperties>
</file>